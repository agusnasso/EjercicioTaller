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ocuments\agustin nasso 5to\excel\"/>
    </mc:Choice>
  </mc:AlternateContent>
  <bookViews>
    <workbookView xWindow="0" yWindow="0" windowWidth="15300" windowHeight="7530" activeTab="1"/>
  </bookViews>
  <sheets>
    <sheet name="Hoja1" sheetId="1" r:id="rId1"/>
    <sheet name="Hoja2" sheetId="3" r:id="rId2"/>
    <sheet name="hoja3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" l="1"/>
  <c r="D3" i="2"/>
  <c r="D4" i="2"/>
  <c r="D5" i="2"/>
  <c r="D6" i="2"/>
  <c r="D7" i="2"/>
  <c r="D8" i="2"/>
  <c r="D2" i="2"/>
  <c r="C3" i="2"/>
  <c r="C4" i="2"/>
  <c r="C5" i="2"/>
  <c r="C6" i="2"/>
  <c r="C7" i="2"/>
  <c r="C8" i="2"/>
  <c r="C2" i="2"/>
  <c r="B3" i="2"/>
  <c r="B4" i="2"/>
  <c r="B5" i="2"/>
  <c r="B6" i="2"/>
  <c r="B7" i="2"/>
  <c r="B8" i="2"/>
  <c r="B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<sst xmlns="http://schemas.openxmlformats.org/spreadsheetml/2006/main" count="88" uniqueCount="43">
  <si>
    <t>fecha</t>
  </si>
  <si>
    <t>vendedor</t>
  </si>
  <si>
    <t>producto</t>
  </si>
  <si>
    <t>cantidad</t>
  </si>
  <si>
    <t>total</t>
  </si>
  <si>
    <t>estado de pago</t>
  </si>
  <si>
    <t>comisión</t>
  </si>
  <si>
    <t>total a pagar</t>
  </si>
  <si>
    <t>premio</t>
  </si>
  <si>
    <t>4/20/2026</t>
  </si>
  <si>
    <t>4/21/2026</t>
  </si>
  <si>
    <t>5/21/2026</t>
  </si>
  <si>
    <t>pedro</t>
  </si>
  <si>
    <t>pablo</t>
  </si>
  <si>
    <t>claudia</t>
  </si>
  <si>
    <t>mouse</t>
  </si>
  <si>
    <t>teclado</t>
  </si>
  <si>
    <t>monitor</t>
  </si>
  <si>
    <t>disco duro</t>
  </si>
  <si>
    <t>contado</t>
  </si>
  <si>
    <t>transferencia</t>
  </si>
  <si>
    <t>tarjeta</t>
  </si>
  <si>
    <t>detalle</t>
  </si>
  <si>
    <t>precio unitario</t>
  </si>
  <si>
    <t>codigo</t>
  </si>
  <si>
    <t>especialidad</t>
  </si>
  <si>
    <t>año</t>
  </si>
  <si>
    <t>curso</t>
  </si>
  <si>
    <t>INFORMATICA 5A LU-MI</t>
  </si>
  <si>
    <t>INFORMATICA 5C MA</t>
  </si>
  <si>
    <t>INFORMATICA 5A MA-VI</t>
  </si>
  <si>
    <t>INFORMATICA 5C VI</t>
  </si>
  <si>
    <t>INFORMATICA 5C MI</t>
  </si>
  <si>
    <t>AUTOMOTOR 5B LU-MI</t>
  </si>
  <si>
    <t>AUTOMOTOR 5B MA-VI</t>
  </si>
  <si>
    <t>nro</t>
  </si>
  <si>
    <t>precio</t>
  </si>
  <si>
    <t>origen</t>
  </si>
  <si>
    <t>disco</t>
  </si>
  <si>
    <t>pendrive</t>
  </si>
  <si>
    <t>china</t>
  </si>
  <si>
    <t>EEUU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</si>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</sst>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6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7" workbookViewId="0">
      <selection activeCell="F21" sqref="F21"/>
    </sheetView>
  </sheetViews>
  <sheetFormatPr baseColWidth="10" defaultRowHeight="15" x14ac:dyDescent="0.25"/>
  <cols>
    <col min="2" max="2" width="14" bestFit="1" customWidth="1"/>
    <col min="5" max="5" width="12.5703125" bestFit="1" customWidth="1"/>
    <col min="6" max="6" width="14.42578125" bestFit="1" customWidth="1"/>
    <col min="7" max="7" width="12" bestFit="1" customWidth="1"/>
    <col min="8" max="8" width="1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46116</v>
      </c>
      <c r="B2" t="s">
        <v>12</v>
      </c>
      <c r="C2" t="s">
        <v>15</v>
      </c>
      <c r="D2">
        <v>2</v>
      </c>
      <c r="E2" s="2">
        <f>VLOOKUP(C2,A$19:B$22,2,FALSE)*D2</f>
        <v>8000</v>
      </c>
      <c r="F2" t="s">
        <v>19</v>
      </c>
      <c r="G2" s="3">
        <f>IF(F2="Contado",E2*10%,IF(F2="Transferencia",E2*5%,0))</f>
        <v>800</v>
      </c>
      <c r="H2" s="3">
        <f>IF(OR(TEXT(A2,"dddd")="Lunes",TEXT(A2,"dddd")="Martes",TEXT(A2,"dddd")="Miércoles",TEXT(A2,"dddd")="Jueves",TEXT(A2,"dddd")="Viernes"),E2-E2*20%,E2)</f>
        <v>8000</v>
      </c>
    </row>
    <row r="3" spans="1:9" x14ac:dyDescent="0.25">
      <c r="A3" s="1">
        <v>46116</v>
      </c>
      <c r="B3" t="s">
        <v>13</v>
      </c>
      <c r="C3" t="s">
        <v>15</v>
      </c>
      <c r="D3">
        <v>1</v>
      </c>
      <c r="E3" s="2">
        <f t="shared" ref="E3:E15" si="0">VLOOKUP(C3,A$19:B$22,2,FALSE)*D3</f>
        <v>4000</v>
      </c>
      <c r="F3" t="s">
        <v>20</v>
      </c>
      <c r="G3" s="3">
        <f t="shared" ref="G3:G15" si="1">IF(F3="Contado",E3*10%,IF(F3="Transferencia",E3*5%,0))</f>
        <v>200</v>
      </c>
      <c r="H3" s="3">
        <f t="shared" ref="H3:H15" si="2">IF(OR(TEXT(A3,"dddd")="Lunes",TEXT(A3,"dddd")="Martes",TEXT(A3,"dddd")="Miércoles",TEXT(A3,"dddd")="Jueves",TEXT(A3,"dddd")="Viernes"),E3-E3*20%,E3)</f>
        <v>4000</v>
      </c>
    </row>
    <row r="4" spans="1:9" x14ac:dyDescent="0.25">
      <c r="A4" s="1">
        <v>46238</v>
      </c>
      <c r="B4" t="s">
        <v>12</v>
      </c>
      <c r="C4" t="s">
        <v>16</v>
      </c>
      <c r="D4">
        <v>1</v>
      </c>
      <c r="E4" s="2">
        <f t="shared" si="0"/>
        <v>25000</v>
      </c>
      <c r="F4" t="s">
        <v>21</v>
      </c>
      <c r="G4" s="3">
        <f t="shared" si="1"/>
        <v>0</v>
      </c>
      <c r="H4" s="3">
        <f t="shared" si="2"/>
        <v>20000</v>
      </c>
    </row>
    <row r="5" spans="1:9" x14ac:dyDescent="0.25">
      <c r="A5" s="1">
        <v>46238</v>
      </c>
      <c r="B5" t="s">
        <v>14</v>
      </c>
      <c r="C5" t="s">
        <v>16</v>
      </c>
      <c r="D5">
        <v>1</v>
      </c>
      <c r="E5" s="2">
        <f t="shared" si="0"/>
        <v>25000</v>
      </c>
      <c r="F5" t="s">
        <v>19</v>
      </c>
      <c r="G5" s="3">
        <f t="shared" si="1"/>
        <v>2500</v>
      </c>
      <c r="H5" s="3">
        <f t="shared" si="2"/>
        <v>20000</v>
      </c>
    </row>
    <row r="6" spans="1:9" x14ac:dyDescent="0.25">
      <c r="A6" s="1">
        <v>46360</v>
      </c>
      <c r="B6" t="s">
        <v>14</v>
      </c>
      <c r="C6" t="s">
        <v>17</v>
      </c>
      <c r="D6">
        <v>1</v>
      </c>
      <c r="E6" s="2">
        <f t="shared" si="0"/>
        <v>25000</v>
      </c>
      <c r="F6" t="s">
        <v>20</v>
      </c>
      <c r="G6" s="3">
        <f t="shared" si="1"/>
        <v>1250</v>
      </c>
      <c r="H6" s="3">
        <f t="shared" si="2"/>
        <v>20000</v>
      </c>
    </row>
    <row r="7" spans="1:9" x14ac:dyDescent="0.25">
      <c r="A7" s="1">
        <v>46360</v>
      </c>
      <c r="B7" t="s">
        <v>12</v>
      </c>
      <c r="C7" t="s">
        <v>17</v>
      </c>
      <c r="D7">
        <v>2</v>
      </c>
      <c r="E7" s="2">
        <f t="shared" si="0"/>
        <v>50000</v>
      </c>
      <c r="F7" t="s">
        <v>21</v>
      </c>
      <c r="G7" s="3">
        <f t="shared" si="1"/>
        <v>0</v>
      </c>
      <c r="H7" s="3">
        <f t="shared" si="2"/>
        <v>40000</v>
      </c>
    </row>
    <row r="8" spans="1:9" x14ac:dyDescent="0.25">
      <c r="A8" s="1">
        <v>46360</v>
      </c>
      <c r="B8" t="s">
        <v>13</v>
      </c>
      <c r="C8" t="s">
        <v>15</v>
      </c>
      <c r="D8">
        <v>3</v>
      </c>
      <c r="E8" s="2">
        <f t="shared" si="0"/>
        <v>12000</v>
      </c>
      <c r="F8" t="s">
        <v>19</v>
      </c>
      <c r="G8" s="3">
        <f t="shared" si="1"/>
        <v>1200</v>
      </c>
      <c r="H8" s="3">
        <f t="shared" si="2"/>
        <v>9600</v>
      </c>
    </row>
    <row r="9" spans="1:9" x14ac:dyDescent="0.25">
      <c r="A9" s="1" t="s">
        <v>9</v>
      </c>
      <c r="B9" t="s">
        <v>14</v>
      </c>
      <c r="C9" t="s">
        <v>16</v>
      </c>
      <c r="D9">
        <v>4</v>
      </c>
      <c r="E9" s="2">
        <f t="shared" si="0"/>
        <v>100000</v>
      </c>
      <c r="F9" t="s">
        <v>20</v>
      </c>
      <c r="G9" s="3">
        <f t="shared" si="1"/>
        <v>5000</v>
      </c>
      <c r="H9" s="3">
        <f t="shared" si="2"/>
        <v>100000</v>
      </c>
    </row>
    <row r="10" spans="1:9" x14ac:dyDescent="0.25">
      <c r="A10" s="1">
        <v>46237</v>
      </c>
      <c r="B10" t="s">
        <v>12</v>
      </c>
      <c r="C10" t="s">
        <v>17</v>
      </c>
      <c r="D10">
        <v>1</v>
      </c>
      <c r="E10" s="2">
        <f t="shared" si="0"/>
        <v>25000</v>
      </c>
      <c r="F10" t="s">
        <v>19</v>
      </c>
      <c r="G10" s="3">
        <f t="shared" si="1"/>
        <v>2500</v>
      </c>
      <c r="H10" s="3">
        <f t="shared" si="2"/>
        <v>20000</v>
      </c>
    </row>
    <row r="11" spans="1:9" x14ac:dyDescent="0.25">
      <c r="A11" s="1">
        <v>46237</v>
      </c>
      <c r="B11" t="s">
        <v>12</v>
      </c>
      <c r="C11" t="s">
        <v>17</v>
      </c>
      <c r="D11">
        <v>2</v>
      </c>
      <c r="E11" s="2">
        <f t="shared" si="0"/>
        <v>50000</v>
      </c>
      <c r="F11" t="s">
        <v>20</v>
      </c>
      <c r="G11" s="3">
        <f t="shared" si="1"/>
        <v>2500</v>
      </c>
      <c r="H11" s="3">
        <f t="shared" si="2"/>
        <v>40000</v>
      </c>
    </row>
    <row r="12" spans="1:9" x14ac:dyDescent="0.25">
      <c r="A12" t="s">
        <v>9</v>
      </c>
      <c r="B12" t="s">
        <v>14</v>
      </c>
      <c r="C12" t="s">
        <v>18</v>
      </c>
      <c r="D12">
        <v>2</v>
      </c>
      <c r="E12" s="2">
        <f t="shared" si="0"/>
        <v>160000</v>
      </c>
      <c r="F12" t="s">
        <v>21</v>
      </c>
      <c r="G12" s="3">
        <f t="shared" si="1"/>
        <v>0</v>
      </c>
      <c r="H12" s="3">
        <f t="shared" si="2"/>
        <v>160000</v>
      </c>
    </row>
    <row r="13" spans="1:9" x14ac:dyDescent="0.25">
      <c r="A13" t="s">
        <v>10</v>
      </c>
      <c r="B13" t="s">
        <v>12</v>
      </c>
      <c r="C13" t="s">
        <v>18</v>
      </c>
      <c r="D13">
        <v>3</v>
      </c>
      <c r="E13" s="2">
        <f t="shared" si="0"/>
        <v>240000</v>
      </c>
      <c r="F13" t="s">
        <v>19</v>
      </c>
      <c r="G13" s="3">
        <f t="shared" si="1"/>
        <v>24000</v>
      </c>
      <c r="H13" s="3">
        <f t="shared" si="2"/>
        <v>240000</v>
      </c>
    </row>
    <row r="14" spans="1:9" x14ac:dyDescent="0.25">
      <c r="A14" t="s">
        <v>10</v>
      </c>
      <c r="B14" t="s">
        <v>14</v>
      </c>
      <c r="C14" t="s">
        <v>18</v>
      </c>
      <c r="D14">
        <v>2</v>
      </c>
      <c r="E14" s="2">
        <f t="shared" si="0"/>
        <v>160000</v>
      </c>
      <c r="F14" t="s">
        <v>20</v>
      </c>
      <c r="G14" s="3">
        <f t="shared" si="1"/>
        <v>8000</v>
      </c>
      <c r="H14" s="3">
        <f t="shared" si="2"/>
        <v>160000</v>
      </c>
    </row>
    <row r="15" spans="1:9" x14ac:dyDescent="0.25">
      <c r="A15" t="s">
        <v>11</v>
      </c>
      <c r="B15" t="s">
        <v>12</v>
      </c>
      <c r="C15" t="s">
        <v>16</v>
      </c>
      <c r="D15">
        <v>3</v>
      </c>
      <c r="E15" s="2">
        <f t="shared" si="0"/>
        <v>75000</v>
      </c>
      <c r="F15" t="s">
        <v>21</v>
      </c>
      <c r="G15" s="3">
        <f t="shared" si="1"/>
        <v>0</v>
      </c>
      <c r="H15" s="3">
        <f t="shared" si="2"/>
        <v>75000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15</v>
      </c>
      <c r="B19" s="2">
        <v>4000</v>
      </c>
    </row>
    <row r="20" spans="1:2" x14ac:dyDescent="0.25">
      <c r="A20" t="s">
        <v>16</v>
      </c>
      <c r="B20" s="2">
        <v>25000</v>
      </c>
    </row>
    <row r="21" spans="1:2" x14ac:dyDescent="0.25">
      <c r="A21" t="s">
        <v>17</v>
      </c>
      <c r="B21" s="2">
        <v>25000</v>
      </c>
    </row>
    <row r="22" spans="1:2" x14ac:dyDescent="0.25">
      <c r="A22" t="s">
        <v>18</v>
      </c>
      <c r="B22" s="2">
        <v>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A11" sqref="A11"/>
    </sheetView>
  </sheetViews>
  <sheetFormatPr baseColWidth="10" defaultRowHeight="15" x14ac:dyDescent="0.25"/>
  <sheetData>
    <row r="1" spans="1:4" x14ac:dyDescent="0.25">
      <c r="A1" t="s">
        <v>35</v>
      </c>
      <c r="B1" t="s">
        <v>22</v>
      </c>
      <c r="C1" t="s">
        <v>36</v>
      </c>
      <c r="D1" t="s">
        <v>37</v>
      </c>
    </row>
    <row r="2" spans="1:4" x14ac:dyDescent="0.25">
      <c r="A2">
        <v>1</v>
      </c>
      <c r="B2" t="s">
        <v>15</v>
      </c>
      <c r="C2">
        <v>4000</v>
      </c>
      <c r="D2" t="s">
        <v>40</v>
      </c>
    </row>
    <row r="3" spans="1:4" x14ac:dyDescent="0.25">
      <c r="A3">
        <v>2</v>
      </c>
      <c r="B3" t="s">
        <v>16</v>
      </c>
      <c r="C3">
        <v>40000</v>
      </c>
      <c r="D3" t="s">
        <v>41</v>
      </c>
    </row>
    <row r="4" spans="1:4" x14ac:dyDescent="0.25">
      <c r="A4">
        <v>3</v>
      </c>
      <c r="B4" t="s">
        <v>17</v>
      </c>
      <c r="C4">
        <v>150000</v>
      </c>
      <c r="D4" t="s">
        <v>42</v>
      </c>
    </row>
    <row r="5" spans="1:4" x14ac:dyDescent="0.25">
      <c r="A5">
        <v>4</v>
      </c>
      <c r="B5" t="s">
        <v>38</v>
      </c>
      <c r="C5">
        <v>80000</v>
      </c>
      <c r="D5" t="s">
        <v>40</v>
      </c>
    </row>
    <row r="6" spans="1:4" x14ac:dyDescent="0.25">
      <c r="A6">
        <v>5</v>
      </c>
      <c r="B6" t="s">
        <v>39</v>
      </c>
      <c r="C6">
        <v>20000</v>
      </c>
      <c r="D6" t="s">
        <v>41</v>
      </c>
    </row>
    <row r="9" spans="1:4" x14ac:dyDescent="0.25">
      <c r="A9" t="s">
        <v>35</v>
      </c>
    </row>
    <row r="10" spans="1:4" x14ac:dyDescent="0.25">
      <c r="A10">
        <v>5</v>
      </c>
      <c r="B10" t="str">
        <f>VLOOKUP(A10,A2:D6,2,FALSE)</f>
        <v>pendrive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16" sqref="C16"/>
    </sheetView>
  </sheetViews>
  <sheetFormatPr baseColWidth="10" defaultRowHeight="15" x14ac:dyDescent="0.25"/>
  <cols>
    <col min="1" max="1" width="22.140625" bestFit="1" customWidth="1"/>
    <col min="2" max="2" width="13.5703125" bestFit="1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 t="s">
        <v>28</v>
      </c>
      <c r="B2" t="str">
        <f>LEFT(A2,SEARCH(" ",A2,1)-1)</f>
        <v>INFORMATICA</v>
      </c>
      <c r="C2" t="str">
        <f>MID(A2,SEARCH("5",A2,1),1)</f>
        <v>5</v>
      </c>
      <c r="D2" t="str">
        <f>MID(A2,SEARCH("5",A2,1)+1,1)</f>
        <v>A</v>
      </c>
    </row>
    <row r="3" spans="1:4" x14ac:dyDescent="0.25">
      <c r="A3" t="s">
        <v>30</v>
      </c>
      <c r="B3" t="str">
        <f t="shared" ref="B3:B8" si="0">LEFT(A3,SEARCH(" ",A3,1)-1)</f>
        <v>INFORMATICA</v>
      </c>
      <c r="C3" t="str">
        <f t="shared" ref="C3:C8" si="1">MID(A3,SEARCH("5",A3,1),1)</f>
        <v>5</v>
      </c>
      <c r="D3" t="str">
        <f t="shared" ref="D3:D8" si="2">MID(A3,SEARCH("5",A3,1)+1,1)</f>
        <v>A</v>
      </c>
    </row>
    <row r="4" spans="1:4" x14ac:dyDescent="0.25">
      <c r="A4" t="s">
        <v>31</v>
      </c>
      <c r="B4" t="str">
        <f t="shared" si="0"/>
        <v>INFORMATICA</v>
      </c>
      <c r="C4" t="str">
        <f t="shared" si="1"/>
        <v>5</v>
      </c>
      <c r="D4" t="str">
        <f t="shared" si="2"/>
        <v>C</v>
      </c>
    </row>
    <row r="5" spans="1:4" x14ac:dyDescent="0.25">
      <c r="A5" t="s">
        <v>29</v>
      </c>
      <c r="B5" t="str">
        <f t="shared" si="0"/>
        <v>INFORMATICA</v>
      </c>
      <c r="C5" t="str">
        <f t="shared" si="1"/>
        <v>5</v>
      </c>
      <c r="D5" t="str">
        <f t="shared" si="2"/>
        <v>C</v>
      </c>
    </row>
    <row r="6" spans="1:4" x14ac:dyDescent="0.25">
      <c r="A6" t="s">
        <v>32</v>
      </c>
      <c r="B6" t="str">
        <f t="shared" si="0"/>
        <v>INFORMATICA</v>
      </c>
      <c r="C6" t="str">
        <f t="shared" si="1"/>
        <v>5</v>
      </c>
      <c r="D6" t="str">
        <f t="shared" si="2"/>
        <v>C</v>
      </c>
    </row>
    <row r="7" spans="1:4" x14ac:dyDescent="0.25">
      <c r="A7" t="s">
        <v>33</v>
      </c>
      <c r="B7" t="str">
        <f t="shared" si="0"/>
        <v>AUTOMOTOR</v>
      </c>
      <c r="C7" t="str">
        <f t="shared" si="1"/>
        <v>5</v>
      </c>
      <c r="D7" t="str">
        <f t="shared" si="2"/>
        <v>B</v>
      </c>
    </row>
    <row r="8" spans="1:4" x14ac:dyDescent="0.25">
      <c r="A8" t="s">
        <v>34</v>
      </c>
      <c r="B8" t="str">
        <f t="shared" si="0"/>
        <v>AUTOMOTOR</v>
      </c>
      <c r="C8" t="str">
        <f t="shared" si="1"/>
        <v>5</v>
      </c>
      <c r="D8" t="str">
        <f t="shared" si="2"/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 del Secundario</dc:creator>
  <cp:lastModifiedBy>Alumnos de Taller Quinto año del Secundario</cp:lastModifiedBy>
  <dcterms:created xsi:type="dcterms:W3CDTF">2026-05-08T17:05:27Z</dcterms:created>
  <dcterms:modified xsi:type="dcterms:W3CDTF">2026-05-08T18:50:15Z</dcterms:modified>
</cp:coreProperties>
</file>